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itin\Gen AI\Capstone\Final\"/>
    </mc:Choice>
  </mc:AlternateContent>
  <xr:revisionPtr revIDLastSave="0" documentId="13_ncr:1_{00741671-1D47-4770-960C-337451DA6863}" xr6:coauthVersionLast="47" xr6:coauthVersionMax="47" xr10:uidLastSave="{00000000-0000-0000-0000-000000000000}"/>
  <bookViews>
    <workbookView xWindow="-110" yWindow="-110" windowWidth="19420" windowHeight="10300" activeTab="2" xr2:uid="{81A84833-EF49-814B-9ADB-D4C1CBEE4BC4}"/>
  </bookViews>
  <sheets>
    <sheet name="Inference" sheetId="1" r:id="rId1"/>
    <sheet name="Embeddings" sheetId="2" r:id="rId2"/>
    <sheet name="Cost Saving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27" i="3" l="1"/>
  <c r="E17" i="3"/>
  <c r="E19" i="3" s="1"/>
  <c r="E30" i="3" s="1"/>
  <c r="E31" i="3" s="1"/>
  <c r="E10" i="3"/>
  <c r="E8" i="3"/>
  <c r="D24" i="2"/>
  <c r="D26" i="2" s="1"/>
  <c r="J9" i="2"/>
  <c r="J10" i="2" s="1"/>
  <c r="G9" i="2"/>
  <c r="G10" i="2" s="1"/>
  <c r="D9" i="2"/>
  <c r="D10" i="2" s="1"/>
  <c r="K7" i="1"/>
  <c r="K8" i="1"/>
  <c r="J7" i="1"/>
  <c r="J8" i="1"/>
  <c r="I7" i="1"/>
  <c r="I8" i="1"/>
  <c r="H7" i="1"/>
  <c r="H8" i="1"/>
  <c r="K6" i="1"/>
  <c r="I6" i="1"/>
  <c r="H6" i="1"/>
  <c r="C9" i="1"/>
  <c r="C16" i="1"/>
  <c r="C10" i="1"/>
  <c r="C8" i="1"/>
  <c r="C11" i="1" s="1"/>
  <c r="D15" i="2" l="1"/>
  <c r="D17" i="2" s="1"/>
  <c r="D29" i="2" s="1"/>
  <c r="J6" i="1"/>
  <c r="C13" i="1"/>
</calcChain>
</file>

<file path=xl/sharedStrings.xml><?xml version="1.0" encoding="utf-8"?>
<sst xmlns="http://schemas.openxmlformats.org/spreadsheetml/2006/main" count="84" uniqueCount="64">
  <si>
    <t>Description</t>
  </si>
  <si>
    <t>Quantity</t>
  </si>
  <si>
    <t>User Query</t>
  </si>
  <si>
    <t>System Prompt</t>
  </si>
  <si>
    <t>PDFs</t>
  </si>
  <si>
    <t>FQAs</t>
  </si>
  <si>
    <t>Tickets</t>
  </si>
  <si>
    <t>Base Calculation</t>
  </si>
  <si>
    <t>Total input tokens per query</t>
  </si>
  <si>
    <t>Total Output tokens per query</t>
  </si>
  <si>
    <t>Total Token per query</t>
  </si>
  <si>
    <t>Total queries received per day</t>
  </si>
  <si>
    <t>Total number of days per month</t>
  </si>
  <si>
    <t>Total monthly volume of queries</t>
  </si>
  <si>
    <t>Model Name</t>
  </si>
  <si>
    <t>gpt-6-astra</t>
  </si>
  <si>
    <t>gpt-5.6-sol</t>
  </si>
  <si>
    <t>gpt-5.6-terra</t>
  </si>
  <si>
    <t>Input cost($) per 1M token</t>
  </si>
  <si>
    <t>Output cost($) per 1M token</t>
  </si>
  <si>
    <t>Cost per input Query($)</t>
  </si>
  <si>
    <t>Cost per output query Query($)</t>
  </si>
  <si>
    <t>Total Cost per query</t>
  </si>
  <si>
    <t>Total cost per month</t>
  </si>
  <si>
    <t>Token/word</t>
  </si>
  <si>
    <t>FAQs</t>
  </si>
  <si>
    <t>Component</t>
  </si>
  <si>
    <t>Number of tickets</t>
  </si>
  <si>
    <t>Number of words per ticket</t>
  </si>
  <si>
    <t>Total number of words</t>
  </si>
  <si>
    <t>Total Tokens</t>
  </si>
  <si>
    <t>Number of FAQs</t>
  </si>
  <si>
    <t>Number of words per FAQ</t>
  </si>
  <si>
    <t>Total tokens</t>
  </si>
  <si>
    <t>Number of PDFs</t>
  </si>
  <si>
    <t>Number of words per PDF</t>
  </si>
  <si>
    <t>RAG Embeddings</t>
  </si>
  <si>
    <t>Total tokens for RAG</t>
  </si>
  <si>
    <t>Cost per 1M token</t>
  </si>
  <si>
    <t>Total cost for RAG</t>
  </si>
  <si>
    <t>User Query Embeddings</t>
  </si>
  <si>
    <t>Cost/Quantity</t>
  </si>
  <si>
    <t>Token per user query</t>
  </si>
  <si>
    <t>Token tokens per month</t>
  </si>
  <si>
    <t>Total cost for user query embeddings</t>
  </si>
  <si>
    <t>Total cost of Embeddings</t>
  </si>
  <si>
    <t>Total queries per month</t>
  </si>
  <si>
    <t>User queries per day</t>
  </si>
  <si>
    <t>Queries handled per human agent</t>
  </si>
  <si>
    <t>Queries handled per month</t>
  </si>
  <si>
    <t>Total queries/volume per month</t>
  </si>
  <si>
    <t>Number of human agents required</t>
  </si>
  <si>
    <t>Total monthly cost of Human Agents</t>
  </si>
  <si>
    <t>Cost</t>
  </si>
  <si>
    <t>Salary</t>
  </si>
  <si>
    <t>Admin Cost</t>
  </si>
  <si>
    <t>Total cost per human agent per month</t>
  </si>
  <si>
    <t>Total cost for Human agent per month</t>
  </si>
  <si>
    <t>Cost for RAG Chatbot</t>
  </si>
  <si>
    <t>Inference Cost</t>
  </si>
  <si>
    <t>Embeddings Cost</t>
  </si>
  <si>
    <t>Total RAG Chatbot Agent</t>
  </si>
  <si>
    <t>Total Savings</t>
  </si>
  <si>
    <t>% Savings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</si>
</sst>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&quot;₹&quot;* #,##0.00_);_(&quot;₹&quot;* \(#,##0.00\);_(&quot;₹&quot;* &quot;-&quot;??_);_(@_)"/>
    <numFmt numFmtId="165" formatCode="[$$-409]#,##0.00"/>
    <numFmt numFmtId="166" formatCode="_([$$-409]* #,##0.00_);_([$$-409]* \(#,##0.00\);_([$$-409]* &quot;-&quot;??_);_(@_)"/>
  </numFmts>
  <fonts count="5" x14ac:knownFonts="1"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-0.249977111117893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theme="4"/>
      </top>
      <bottom/>
      <diagonal/>
    </border>
    <border>
      <left/>
      <right style="medium">
        <color indexed="64"/>
      </right>
      <top style="thin">
        <color theme="4"/>
      </top>
      <bottom/>
      <diagonal/>
    </border>
    <border>
      <left style="medium">
        <color indexed="64"/>
      </left>
      <right/>
      <top style="thin">
        <color theme="4"/>
      </top>
      <bottom style="medium">
        <color indexed="64"/>
      </bottom>
      <diagonal/>
    </border>
    <border>
      <left style="thin">
        <color theme="4"/>
      </left>
      <right style="medium">
        <color indexed="64"/>
      </right>
      <top style="thin">
        <color theme="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theme="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164" fontId="4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59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4" xfId="0" applyBorder="1"/>
    <xf numFmtId="0" fontId="0" fillId="0" borderId="4" xfId="0" applyBorder="1" applyAlignment="1">
      <alignment wrapText="1"/>
    </xf>
    <xf numFmtId="0" fontId="1" fillId="2" borderId="10" xfId="0" applyFont="1" applyFill="1" applyBorder="1" applyAlignment="1">
      <alignment horizontal="center" vertical="center"/>
    </xf>
    <xf numFmtId="165" fontId="1" fillId="2" borderId="11" xfId="0" applyNumberFormat="1" applyFont="1" applyFill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" fillId="2" borderId="10" xfId="0" applyFont="1" applyFill="1" applyBorder="1" applyAlignment="1">
      <alignment vertical="center"/>
    </xf>
    <xf numFmtId="0" fontId="2" fillId="3" borderId="13" xfId="0" applyFont="1" applyFill="1" applyBorder="1" applyAlignment="1">
      <alignment horizontal="center" vertical="center"/>
    </xf>
    <xf numFmtId="165" fontId="2" fillId="3" borderId="14" xfId="0" applyNumberFormat="1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1" fillId="2" borderId="18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/>
    </xf>
    <xf numFmtId="0" fontId="1" fillId="2" borderId="20" xfId="0" applyFont="1" applyFill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0" fillId="0" borderId="24" xfId="0" applyBorder="1" applyAlignment="1">
      <alignment horizontal="center" vertical="center"/>
    </xf>
    <xf numFmtId="165" fontId="0" fillId="0" borderId="25" xfId="0" applyNumberFormat="1" applyBorder="1" applyAlignment="1">
      <alignment horizontal="center" vertical="center"/>
    </xf>
    <xf numFmtId="0" fontId="0" fillId="0" borderId="24" xfId="0" applyBorder="1"/>
    <xf numFmtId="0" fontId="0" fillId="0" borderId="1" xfId="0" applyBorder="1"/>
    <xf numFmtId="165" fontId="0" fillId="0" borderId="25" xfId="0" applyNumberFormat="1" applyBorder="1"/>
    <xf numFmtId="0" fontId="0" fillId="0" borderId="26" xfId="0" applyBorder="1"/>
    <xf numFmtId="0" fontId="0" fillId="0" borderId="27" xfId="0" applyBorder="1"/>
    <xf numFmtId="165" fontId="0" fillId="0" borderId="28" xfId="0" applyNumberFormat="1" applyBorder="1"/>
    <xf numFmtId="0" fontId="2" fillId="4" borderId="0" xfId="0" applyFont="1" applyFill="1" applyAlignment="1">
      <alignment horizontal="center" vertical="center"/>
    </xf>
    <xf numFmtId="166" fontId="2" fillId="4" borderId="0" xfId="0" applyNumberFormat="1" applyFont="1" applyFill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166" fontId="2" fillId="4" borderId="1" xfId="0" applyNumberFormat="1" applyFont="1" applyFill="1" applyBorder="1" applyAlignment="1">
      <alignment horizontal="center" vertical="center"/>
    </xf>
    <xf numFmtId="9" fontId="2" fillId="4" borderId="1" xfId="2" applyFont="1" applyFill="1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166" fontId="0" fillId="0" borderId="25" xfId="0" applyNumberFormat="1" applyBorder="1"/>
    <xf numFmtId="166" fontId="0" fillId="0" borderId="28" xfId="0" applyNumberFormat="1" applyBorder="1"/>
    <xf numFmtId="166" fontId="0" fillId="0" borderId="25" xfId="1" applyNumberFormat="1" applyFont="1" applyBorder="1" applyAlignment="1">
      <alignment horizontal="center" vertical="center"/>
    </xf>
    <xf numFmtId="166" fontId="0" fillId="0" borderId="25" xfId="0" applyNumberFormat="1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166" fontId="0" fillId="0" borderId="28" xfId="0" applyNumberFormat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 wrapText="1"/>
    </xf>
  </cellXfs>
  <cellStyles count="3">
    <cellStyle name="Currency" xfId="1" builtinId="4"/>
    <cellStyle name="Normal" xfId="0" builtinId="0"/>
    <cellStyle name="Percent" xfId="2" builtinId="5"/>
  </cellStyles>
  <dxfs count="47">
    <dxf>
      <numFmt numFmtId="166" formatCode="_([$$-409]* #,##0.00_);_([$$-409]* \(#,##0.00\);_([$$-409]* &quot;-&quot;??_);_(@_)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theme="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1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1" indent="0" justifyLastLine="0" shrinkToFit="0" readingOrder="0"/>
    </dxf>
    <dxf>
      <numFmt numFmtId="165" formatCode="[$$-409]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E5660C3-7A5D-144E-B55E-E4185CDEC4D9}" name="Table1" displayName="Table1" ref="B5:C16" totalsRowShown="0" headerRowDxfId="46">
  <autoFilter ref="B5:C16" xr:uid="{6E5660C3-7A5D-144E-B55E-E4185CDEC4D9}"/>
  <tableColumns count="2">
    <tableColumn id="1" xr3:uid="{727237FA-BC4D-9F46-8ADE-ED9092670878}" name="Description" dataDxfId="45"/>
    <tableColumn id="2" xr3:uid="{0593A699-22EA-0248-930A-E73441604BBC}" name="Quantity" dataDxfId="44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FA436B0-E934-044D-BD4B-BA7AC864344E}" name="Table2" displayName="Table2" ref="E5:K11" totalsRowShown="0" headerRowDxfId="43" headerRowBorderDxfId="42" tableBorderDxfId="41" totalsRowBorderDxfId="40">
  <autoFilter ref="E5:K11" xr:uid="{9FA436B0-E934-044D-BD4B-BA7AC864344E}"/>
  <tableColumns count="7">
    <tableColumn id="1" xr3:uid="{E94216F8-5EB6-EC47-81E8-37CA23E140A7}" name="Model Name" dataDxfId="39"/>
    <tableColumn id="2" xr3:uid="{83547E58-7672-604D-A32B-5167C4F20A2E}" name="Input cost($) per 1M token" dataDxfId="38"/>
    <tableColumn id="3" xr3:uid="{A6CF9F4C-BE96-0949-87E6-B07F6AABD34D}" name="Output cost($) per 1M token" dataDxfId="37"/>
    <tableColumn id="4" xr3:uid="{475DDE62-281B-354B-BA4E-94241D7E1436}" name="Cost per input Query($)" dataDxfId="36">
      <calculatedColumnFormula>F6*$C$11/1000000</calculatedColumnFormula>
    </tableColumn>
    <tableColumn id="5" xr3:uid="{6BE0031B-E84A-AB4B-91D5-9C60117E572D}" name="Cost per output query Query($)" dataDxfId="35">
      <calculatedColumnFormula>G6*$C$12/1000000</calculatedColumnFormula>
    </tableColumn>
    <tableColumn id="6" xr3:uid="{5B9E22A9-D91C-264B-97BD-B60C34FE910E}" name="Total Cost per query" dataDxfId="34">
      <calculatedColumnFormula>H6+I6</calculatedColumnFormula>
    </tableColumn>
    <tableColumn id="7" xr3:uid="{E4FCEC60-5782-A24E-9EDB-E74A6FB2A8E6}" name="Total cost per month" dataDxfId="33">
      <calculatedColumnFormula>Table2[[#This Row],[Total Cost per query]]*$C$16</calculatedColumnFormula>
    </tableColumn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D149783-4593-7641-8027-E34AC9EC5C67}" name="Table3" displayName="Table3" ref="C6:D10" totalsRowShown="0" headerRowDxfId="32" dataDxfId="31">
  <autoFilter ref="C6:D10" xr:uid="{7D149783-4593-7641-8027-E34AC9EC5C67}"/>
  <tableColumns count="2">
    <tableColumn id="1" xr3:uid="{66487A0E-FD9A-2540-B540-3FA1009E5030}" name="Component" dataDxfId="30"/>
    <tableColumn id="2" xr3:uid="{24BE4C20-FB60-944A-9CF9-E38EFCAFBFFD}" name="Quantity" dataDxfId="29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DA5D9C1-05DC-904C-B9B7-078391840090}" name="Table4" displayName="Table4" ref="F6:G10" totalsRowShown="0" headerRowDxfId="28" dataDxfId="27">
  <autoFilter ref="F6:G10" xr:uid="{0DA5D9C1-05DC-904C-B9B7-078391840090}"/>
  <tableColumns count="2">
    <tableColumn id="1" xr3:uid="{FA7C3134-BE9C-7446-B27B-2B4D281CD4C3}" name="Component" dataDxfId="26"/>
    <tableColumn id="2" xr3:uid="{25C099DE-4851-5044-B17D-36328CE66598}" name="Quantity" dataDxfId="25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1B9B987-48C6-884C-8691-47C0F8614466}" name="Table5" displayName="Table5" ref="I6:J10" totalsRowShown="0" headerRowDxfId="24">
  <autoFilter ref="I6:J10" xr:uid="{E1B9B987-48C6-884C-8691-47C0F8614466}"/>
  <tableColumns count="2">
    <tableColumn id="1" xr3:uid="{637E4E07-C4CD-5D4F-9DB2-77F31846D154}" name="Component"/>
    <tableColumn id="2" xr3:uid="{270E1BE1-AB85-BA48-A839-02F3C49F592B}" name="Quantity" dataDxfId="23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421DEDF-F1B7-DC44-853F-A0BE0275C76A}" name="Table6" displayName="Table6" ref="C14:D17" totalsRowShown="0" headerRowDxfId="22" tableBorderDxfId="21">
  <autoFilter ref="C14:D17" xr:uid="{1421DEDF-F1B7-DC44-853F-A0BE0275C76A}"/>
  <tableColumns count="2">
    <tableColumn id="1" xr3:uid="{E94B2DA1-5D66-6B4F-8872-9B742ECF5935}" name="Component"/>
    <tableColumn id="2" xr3:uid="{C5D23930-72B4-5546-870C-6D91500EE6EC}" name="Cost/Quantity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D56A6151-2944-C14E-851C-8E07FB2522FD}" name="Table7" displayName="Table7" ref="C21:D26" totalsRowShown="0" headerRowDxfId="20" dataDxfId="19">
  <autoFilter ref="C21:D26" xr:uid="{D56A6151-2944-C14E-851C-8E07FB2522FD}"/>
  <tableColumns count="2">
    <tableColumn id="1" xr3:uid="{862A8D74-8607-684C-9682-43F4960DA550}" name="Component" dataDxfId="18"/>
    <tableColumn id="2" xr3:uid="{4EB4268D-BD6E-8748-9A0C-4E0236B52670}" name="Cost/Quantity" dataDxfId="17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317D8A10-DBC1-9D4F-9FE0-D76E3D8D385E}" name="Table8" displayName="Table8" ref="D4:E10" totalsRowShown="0" headerRowDxfId="16" dataDxfId="15">
  <autoFilter ref="D4:E10" xr:uid="{317D8A10-DBC1-9D4F-9FE0-D76E3D8D385E}"/>
  <tableColumns count="2">
    <tableColumn id="1" xr3:uid="{7D64B7F8-890E-4442-96EB-4B5B298D7A6E}" name="Component" dataDxfId="14"/>
    <tableColumn id="2" xr3:uid="{30389DF7-597A-894D-8CAB-775D96E2DF40}" name="Quantity" dataDxfId="13"/>
  </tableColumns>
  <tableStyleInfo name="TableStyleLight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258F642C-45A2-5E4D-97F3-60AE5C4C8721}" name="Table9" displayName="Table9" ref="D14:E17" totalsRowShown="0" headerRowDxfId="12" dataDxfId="10" headerRowBorderDxfId="11" tableBorderDxfId="9" totalsRowBorderDxfId="8">
  <autoFilter ref="D14:E17" xr:uid="{258F642C-45A2-5E4D-97F3-60AE5C4C8721}"/>
  <tableColumns count="2">
    <tableColumn id="1" xr3:uid="{AF872F90-5E23-474E-A330-AC494E0FEA8E}" name="Component" dataDxfId="7"/>
    <tableColumn id="2" xr3:uid="{6DA4ED62-FF2A-0645-AF8B-58840A36F844}" name="Cost" dataDxfId="6"/>
  </tableColumns>
  <tableStyleInfo name="TableStyleLight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A90442C4-32F7-274B-897E-0AB69F7DCD99}" name="Table10" displayName="Table10" ref="D23:E25" totalsRowShown="0" headerRowDxfId="5" headerRowBorderDxfId="4" tableBorderDxfId="3" totalsRowBorderDxfId="2">
  <autoFilter ref="D23:E25" xr:uid="{A90442C4-32F7-274B-897E-0AB69F7DCD99}"/>
  <tableColumns count="2">
    <tableColumn id="1" xr3:uid="{5AD28BD1-85A1-8E42-A3C0-B3B9BB6A2289}" name="Component" dataDxfId="1"/>
    <tableColumn id="2" xr3:uid="{B84FEAB4-E266-6646-8A69-C2A4A0F80D26}" name="Cost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table" Target="../tables/table3.xml"/><Relationship Id="rId5" Type="http://schemas.openxmlformats.org/officeDocument/2006/relationships/table" Target="../tables/table7.xml"/><Relationship Id="rId4" Type="http://schemas.openxmlformats.org/officeDocument/2006/relationships/table" Target="../tables/table6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.xml"/><Relationship Id="rId2" Type="http://schemas.openxmlformats.org/officeDocument/2006/relationships/table" Target="../tables/table9.xml"/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2EE54D-BF6D-B043-BCCA-A0F69A5644CE}">
  <dimension ref="B3:K16"/>
  <sheetViews>
    <sheetView topLeftCell="A10" zoomScale="90" zoomScaleNormal="90" workbookViewId="0">
      <selection activeCell="K7" sqref="K7"/>
    </sheetView>
  </sheetViews>
  <sheetFormatPr defaultColWidth="10.85546875" defaultRowHeight="18.5" x14ac:dyDescent="0.45"/>
  <cols>
    <col min="2" max="2" width="29.140625" customWidth="1"/>
    <col min="3" max="3" width="15.85546875" customWidth="1"/>
    <col min="5" max="5" width="16" customWidth="1"/>
    <col min="6" max="6" width="18.7109375" customWidth="1"/>
    <col min="7" max="7" width="20.28515625" customWidth="1"/>
    <col min="8" max="9" width="19" customWidth="1"/>
    <col min="10" max="10" width="12.5703125" customWidth="1"/>
    <col min="11" max="11" width="18.28515625" customWidth="1"/>
  </cols>
  <sheetData>
    <row r="3" spans="2:11" ht="19" thickBot="1" x14ac:dyDescent="0.5"/>
    <row r="4" spans="2:11" x14ac:dyDescent="0.45">
      <c r="B4" s="51" t="s">
        <v>7</v>
      </c>
      <c r="C4" s="52"/>
    </row>
    <row r="5" spans="2:11" ht="37" x14ac:dyDescent="0.45">
      <c r="B5" s="23" t="s">
        <v>0</v>
      </c>
      <c r="C5" s="15" t="s">
        <v>1</v>
      </c>
      <c r="E5" s="28" t="s">
        <v>14</v>
      </c>
      <c r="F5" s="29" t="s">
        <v>18</v>
      </c>
      <c r="G5" s="29" t="s">
        <v>19</v>
      </c>
      <c r="H5" s="29" t="s">
        <v>20</v>
      </c>
      <c r="I5" s="29" t="s">
        <v>21</v>
      </c>
      <c r="J5" s="29" t="s">
        <v>22</v>
      </c>
      <c r="K5" s="30" t="s">
        <v>23</v>
      </c>
    </row>
    <row r="6" spans="2:11" x14ac:dyDescent="0.45">
      <c r="B6" s="23" t="s">
        <v>2</v>
      </c>
      <c r="C6" s="15">
        <v>20</v>
      </c>
      <c r="E6" s="31" t="s">
        <v>15</v>
      </c>
      <c r="F6" s="2">
        <v>10</v>
      </c>
      <c r="G6" s="2">
        <v>50</v>
      </c>
      <c r="H6" s="2">
        <f t="shared" ref="H6:H8" si="0">F6*$C$11/1000000</f>
        <v>2.5499999999999998E-2</v>
      </c>
      <c r="I6" s="2">
        <f t="shared" ref="I6:I8" si="1">G6*$C$12/1000000</f>
        <v>1.4999999999999999E-2</v>
      </c>
      <c r="J6" s="2">
        <f t="shared" ref="J6:J8" si="2">H6+I6</f>
        <v>4.0499999999999994E-2</v>
      </c>
      <c r="K6" s="32">
        <f>Table2[[#This Row],[Total Cost per query]]*$C$16</f>
        <v>6074.9999999999991</v>
      </c>
    </row>
    <row r="7" spans="2:11" x14ac:dyDescent="0.45">
      <c r="B7" s="23" t="s">
        <v>3</v>
      </c>
      <c r="C7" s="15">
        <v>250</v>
      </c>
      <c r="E7" s="31" t="s">
        <v>16</v>
      </c>
      <c r="F7" s="2">
        <v>4</v>
      </c>
      <c r="G7" s="2">
        <v>20</v>
      </c>
      <c r="H7" s="2">
        <f t="shared" si="0"/>
        <v>1.0200000000000001E-2</v>
      </c>
      <c r="I7" s="2">
        <f t="shared" si="1"/>
        <v>6.0000000000000001E-3</v>
      </c>
      <c r="J7" s="2">
        <f t="shared" si="2"/>
        <v>1.6199999999999999E-2</v>
      </c>
      <c r="K7" s="32">
        <f>Table2[[#This Row],[Total Cost per query]]*$C$16</f>
        <v>2430</v>
      </c>
    </row>
    <row r="8" spans="2:11" x14ac:dyDescent="0.45">
      <c r="B8" s="23" t="s">
        <v>4</v>
      </c>
      <c r="C8" s="15">
        <f>600*3</f>
        <v>1800</v>
      </c>
      <c r="E8" s="31" t="s">
        <v>17</v>
      </c>
      <c r="F8" s="2">
        <v>2</v>
      </c>
      <c r="G8" s="2">
        <v>12</v>
      </c>
      <c r="H8" s="2">
        <f t="shared" si="0"/>
        <v>5.1000000000000004E-3</v>
      </c>
      <c r="I8" s="2">
        <f t="shared" si="1"/>
        <v>3.5999999999999999E-3</v>
      </c>
      <c r="J8" s="2">
        <f t="shared" si="2"/>
        <v>8.6999999999999994E-3</v>
      </c>
      <c r="K8" s="32">
        <f>Table2[[#This Row],[Total Cost per query]]*$C$16</f>
        <v>1305</v>
      </c>
    </row>
    <row r="9" spans="2:11" x14ac:dyDescent="0.45">
      <c r="B9" s="23" t="s">
        <v>5</v>
      </c>
      <c r="C9" s="15">
        <f>80*3</f>
        <v>240</v>
      </c>
      <c r="E9" s="33"/>
      <c r="F9" s="34"/>
      <c r="G9" s="34"/>
      <c r="H9" s="34"/>
      <c r="I9" s="34"/>
      <c r="J9" s="34"/>
      <c r="K9" s="35"/>
    </row>
    <row r="10" spans="2:11" x14ac:dyDescent="0.45">
      <c r="B10" s="23" t="s">
        <v>6</v>
      </c>
      <c r="C10" s="15">
        <f>80*3</f>
        <v>240</v>
      </c>
      <c r="E10" s="33"/>
      <c r="F10" s="34"/>
      <c r="G10" s="34"/>
      <c r="H10" s="34"/>
      <c r="I10" s="34"/>
      <c r="J10" s="34"/>
      <c r="K10" s="35"/>
    </row>
    <row r="11" spans="2:11" x14ac:dyDescent="0.45">
      <c r="B11" s="24" t="s">
        <v>8</v>
      </c>
      <c r="C11" s="25">
        <f>SUM(C6:C10)</f>
        <v>2550</v>
      </c>
      <c r="E11" s="36"/>
      <c r="F11" s="37"/>
      <c r="G11" s="37"/>
      <c r="H11" s="37"/>
      <c r="I11" s="37"/>
      <c r="J11" s="37"/>
      <c r="K11" s="38"/>
    </row>
    <row r="12" spans="2:11" x14ac:dyDescent="0.45">
      <c r="B12" s="23" t="s">
        <v>9</v>
      </c>
      <c r="C12" s="15">
        <v>300</v>
      </c>
    </row>
    <row r="13" spans="2:11" x14ac:dyDescent="0.45">
      <c r="B13" s="24" t="s">
        <v>10</v>
      </c>
      <c r="C13" s="25">
        <f>C11+C12</f>
        <v>2850</v>
      </c>
    </row>
    <row r="14" spans="2:11" x14ac:dyDescent="0.45">
      <c r="B14" s="23" t="s">
        <v>11</v>
      </c>
      <c r="C14" s="15">
        <v>5000</v>
      </c>
    </row>
    <row r="15" spans="2:11" x14ac:dyDescent="0.45">
      <c r="B15" s="23" t="s">
        <v>12</v>
      </c>
      <c r="C15" s="15">
        <v>30</v>
      </c>
    </row>
    <row r="16" spans="2:11" ht="19" thickBot="1" x14ac:dyDescent="0.5">
      <c r="B16" s="26" t="s">
        <v>13</v>
      </c>
      <c r="C16" s="27">
        <f>C14*C15</f>
        <v>150000</v>
      </c>
    </row>
  </sheetData>
  <mergeCells count="1">
    <mergeCell ref="B4:C4"/>
  </mergeCells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C5F12-FF79-6045-8ED9-7C7CBF56FC6E}">
  <dimension ref="C2:J29"/>
  <sheetViews>
    <sheetView topLeftCell="A13" zoomScaleNormal="100" workbookViewId="0">
      <selection activeCell="F14" sqref="F14"/>
    </sheetView>
  </sheetViews>
  <sheetFormatPr defaultColWidth="10.85546875" defaultRowHeight="18.5" x14ac:dyDescent="0.45"/>
  <cols>
    <col min="3" max="3" width="31.28515625" bestFit="1" customWidth="1"/>
    <col min="4" max="4" width="18" customWidth="1"/>
    <col min="6" max="6" width="22.28515625" bestFit="1" customWidth="1"/>
    <col min="7" max="7" width="15" customWidth="1"/>
    <col min="9" max="9" width="23.42578125" customWidth="1"/>
    <col min="10" max="10" width="14.85546875" customWidth="1"/>
  </cols>
  <sheetData>
    <row r="2" spans="3:10" ht="19" thickBot="1" x14ac:dyDescent="0.5"/>
    <row r="3" spans="3:10" ht="24" thickBot="1" x14ac:dyDescent="0.5">
      <c r="C3" s="21" t="s">
        <v>24</v>
      </c>
      <c r="D3" s="22">
        <v>1.3</v>
      </c>
    </row>
    <row r="4" spans="3:10" ht="19" thickBot="1" x14ac:dyDescent="0.5"/>
    <row r="5" spans="3:10" ht="20" customHeight="1" x14ac:dyDescent="0.45">
      <c r="C5" s="53" t="s">
        <v>6</v>
      </c>
      <c r="D5" s="54"/>
      <c r="F5" s="55" t="s">
        <v>25</v>
      </c>
      <c r="G5" s="56"/>
      <c r="I5" s="55" t="s">
        <v>4</v>
      </c>
      <c r="J5" s="56"/>
    </row>
    <row r="6" spans="3:10" x14ac:dyDescent="0.45">
      <c r="C6" s="3" t="s">
        <v>26</v>
      </c>
      <c r="D6" s="4" t="s">
        <v>1</v>
      </c>
      <c r="F6" s="3" t="s">
        <v>26</v>
      </c>
      <c r="G6" s="4" t="s">
        <v>1</v>
      </c>
      <c r="I6" s="3" t="s">
        <v>26</v>
      </c>
      <c r="J6" s="4" t="s">
        <v>1</v>
      </c>
    </row>
    <row r="7" spans="3:10" x14ac:dyDescent="0.45">
      <c r="C7" s="5" t="s">
        <v>27</v>
      </c>
      <c r="D7" s="6">
        <v>10000</v>
      </c>
      <c r="F7" s="9" t="s">
        <v>31</v>
      </c>
      <c r="G7" s="10">
        <v>50</v>
      </c>
      <c r="I7" s="11" t="s">
        <v>34</v>
      </c>
      <c r="J7" s="6">
        <v>20</v>
      </c>
    </row>
    <row r="8" spans="3:10" x14ac:dyDescent="0.45">
      <c r="C8" s="5" t="s">
        <v>28</v>
      </c>
      <c r="D8" s="6">
        <v>150</v>
      </c>
      <c r="F8" s="9" t="s">
        <v>32</v>
      </c>
      <c r="G8" s="10">
        <v>200</v>
      </c>
      <c r="I8" s="12" t="s">
        <v>35</v>
      </c>
      <c r="J8" s="6">
        <v>5000</v>
      </c>
    </row>
    <row r="9" spans="3:10" x14ac:dyDescent="0.45">
      <c r="C9" s="5" t="s">
        <v>29</v>
      </c>
      <c r="D9" s="6">
        <f>D7*D8</f>
        <v>1500000</v>
      </c>
      <c r="F9" s="9" t="s">
        <v>29</v>
      </c>
      <c r="G9" s="10">
        <f>G8*G7</f>
        <v>10000</v>
      </c>
      <c r="I9" s="11" t="s">
        <v>29</v>
      </c>
      <c r="J9" s="6">
        <f>J8*J7</f>
        <v>100000</v>
      </c>
    </row>
    <row r="10" spans="3:10" ht="19" thickBot="1" x14ac:dyDescent="0.5">
      <c r="C10" s="7" t="s">
        <v>30</v>
      </c>
      <c r="D10" s="8">
        <f>D9*D3</f>
        <v>1950000</v>
      </c>
      <c r="F10" s="7" t="s">
        <v>33</v>
      </c>
      <c r="G10" s="8">
        <f>G9*D3</f>
        <v>13000</v>
      </c>
      <c r="I10" s="7" t="s">
        <v>33</v>
      </c>
      <c r="J10" s="8">
        <f>J9*D3</f>
        <v>130000</v>
      </c>
    </row>
    <row r="12" spans="3:10" ht="19" thickBot="1" x14ac:dyDescent="0.5"/>
    <row r="13" spans="3:10" x14ac:dyDescent="0.45">
      <c r="C13" s="53" t="s">
        <v>36</v>
      </c>
      <c r="D13" s="54"/>
    </row>
    <row r="14" spans="3:10" x14ac:dyDescent="0.45">
      <c r="C14" s="3" t="s">
        <v>26</v>
      </c>
      <c r="D14" s="4" t="s">
        <v>41</v>
      </c>
    </row>
    <row r="15" spans="3:10" x14ac:dyDescent="0.45">
      <c r="C15" s="5" t="s">
        <v>37</v>
      </c>
      <c r="D15" s="6">
        <f>D10+G10+J10</f>
        <v>2093000</v>
      </c>
    </row>
    <row r="16" spans="3:10" x14ac:dyDescent="0.45">
      <c r="C16" s="5" t="s">
        <v>38</v>
      </c>
      <c r="D16" s="6">
        <v>0.13</v>
      </c>
    </row>
    <row r="17" spans="3:4" ht="19" thickBot="1" x14ac:dyDescent="0.5">
      <c r="C17" s="13" t="s">
        <v>39</v>
      </c>
      <c r="D17" s="14">
        <f>D15*D16/1000000</f>
        <v>0.27209</v>
      </c>
    </row>
    <row r="19" spans="3:4" ht="19" thickBot="1" x14ac:dyDescent="0.5"/>
    <row r="20" spans="3:4" x14ac:dyDescent="0.45">
      <c r="C20" s="53" t="s">
        <v>40</v>
      </c>
      <c r="D20" s="54"/>
    </row>
    <row r="21" spans="3:4" x14ac:dyDescent="0.45">
      <c r="C21" s="3" t="s">
        <v>26</v>
      </c>
      <c r="D21" s="4" t="s">
        <v>41</v>
      </c>
    </row>
    <row r="22" spans="3:4" x14ac:dyDescent="0.45">
      <c r="C22" s="5" t="s">
        <v>42</v>
      </c>
      <c r="D22" s="15">
        <v>20</v>
      </c>
    </row>
    <row r="23" spans="3:4" x14ac:dyDescent="0.45">
      <c r="C23" s="5" t="s">
        <v>46</v>
      </c>
      <c r="D23" s="6">
        <v>150000</v>
      </c>
    </row>
    <row r="24" spans="3:4" x14ac:dyDescent="0.45">
      <c r="C24" s="5" t="s">
        <v>43</v>
      </c>
      <c r="D24" s="6">
        <f>D23*D22</f>
        <v>3000000</v>
      </c>
    </row>
    <row r="25" spans="3:4" x14ac:dyDescent="0.45">
      <c r="C25" s="16" t="s">
        <v>38</v>
      </c>
      <c r="D25" s="17">
        <v>0.13</v>
      </c>
    </row>
    <row r="26" spans="3:4" ht="19" thickBot="1" x14ac:dyDescent="0.5">
      <c r="C26" s="18" t="s">
        <v>44</v>
      </c>
      <c r="D26" s="14">
        <f>D24*D25/1000000</f>
        <v>0.39</v>
      </c>
    </row>
    <row r="28" spans="3:4" ht="19" thickBot="1" x14ac:dyDescent="0.5"/>
    <row r="29" spans="3:4" ht="19" thickBot="1" x14ac:dyDescent="0.5">
      <c r="C29" s="19" t="s">
        <v>45</v>
      </c>
      <c r="D29" s="20">
        <f>D17+D26</f>
        <v>0.66209000000000007</v>
      </c>
    </row>
  </sheetData>
  <mergeCells count="5">
    <mergeCell ref="C5:D5"/>
    <mergeCell ref="F5:G5"/>
    <mergeCell ref="I5:J5"/>
    <mergeCell ref="C13:D13"/>
    <mergeCell ref="C20:D20"/>
  </mergeCells>
  <pageMargins left="0.7" right="0.7" top="0.75" bottom="0.75" header="0.3" footer="0.3"/>
  <tableParts count="5">
    <tablePart r:id="rId1"/>
    <tablePart r:id="rId2"/>
    <tablePart r:id="rId3"/>
    <tablePart r:id="rId4"/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8BC5B6-181F-4645-A6EB-4082A9F8A090}">
  <dimension ref="D4:E31"/>
  <sheetViews>
    <sheetView tabSelected="1" topLeftCell="A15" zoomScale="80" zoomScaleNormal="80" workbookViewId="0">
      <selection activeCell="E30" sqref="E30"/>
    </sheetView>
  </sheetViews>
  <sheetFormatPr defaultColWidth="10.85546875" defaultRowHeight="18.5" x14ac:dyDescent="0.45"/>
  <cols>
    <col min="4" max="4" width="33.140625" customWidth="1"/>
    <col min="5" max="5" width="15" customWidth="1"/>
  </cols>
  <sheetData>
    <row r="4" spans="4:5" x14ac:dyDescent="0.45">
      <c r="D4" s="1" t="s">
        <v>26</v>
      </c>
      <c r="E4" s="1" t="s">
        <v>1</v>
      </c>
    </row>
    <row r="5" spans="4:5" x14ac:dyDescent="0.45">
      <c r="D5" s="1" t="s">
        <v>47</v>
      </c>
      <c r="E5" s="1">
        <v>5000</v>
      </c>
    </row>
    <row r="6" spans="4:5" x14ac:dyDescent="0.45">
      <c r="D6" s="1" t="s">
        <v>48</v>
      </c>
      <c r="E6" s="1">
        <v>600</v>
      </c>
    </row>
    <row r="7" spans="4:5" x14ac:dyDescent="0.45">
      <c r="D7" s="1" t="s">
        <v>12</v>
      </c>
      <c r="E7" s="1">
        <v>30</v>
      </c>
    </row>
    <row r="8" spans="4:5" x14ac:dyDescent="0.45">
      <c r="D8" s="1" t="s">
        <v>49</v>
      </c>
      <c r="E8" s="1">
        <f>E6*E7</f>
        <v>18000</v>
      </c>
    </row>
    <row r="9" spans="4:5" x14ac:dyDescent="0.45">
      <c r="D9" s="1" t="s">
        <v>50</v>
      </c>
      <c r="E9" s="1">
        <v>150000</v>
      </c>
    </row>
    <row r="10" spans="4:5" x14ac:dyDescent="0.45">
      <c r="D10" s="1" t="s">
        <v>51</v>
      </c>
      <c r="E10" s="1">
        <f>E9/E8</f>
        <v>8.3333333333333339</v>
      </c>
    </row>
    <row r="13" spans="4:5" x14ac:dyDescent="0.45">
      <c r="D13" s="57" t="s">
        <v>52</v>
      </c>
      <c r="E13" s="57"/>
    </row>
    <row r="14" spans="4:5" x14ac:dyDescent="0.45">
      <c r="D14" s="28" t="s">
        <v>26</v>
      </c>
      <c r="E14" s="44" t="s">
        <v>53</v>
      </c>
    </row>
    <row r="15" spans="4:5" x14ac:dyDescent="0.45">
      <c r="D15" s="31" t="s">
        <v>54</v>
      </c>
      <c r="E15" s="47">
        <v>450</v>
      </c>
    </row>
    <row r="16" spans="4:5" x14ac:dyDescent="0.45">
      <c r="D16" s="31" t="s">
        <v>55</v>
      </c>
      <c r="E16" s="48">
        <v>100</v>
      </c>
    </row>
    <row r="17" spans="4:5" x14ac:dyDescent="0.45">
      <c r="D17" s="49" t="s">
        <v>56</v>
      </c>
      <c r="E17" s="50">
        <f>E15+E16</f>
        <v>550</v>
      </c>
    </row>
    <row r="19" spans="4:5" x14ac:dyDescent="0.45">
      <c r="D19" s="39" t="s">
        <v>57</v>
      </c>
      <c r="E19" s="40">
        <f>E17*E10</f>
        <v>4583.3333333333339</v>
      </c>
    </row>
    <row r="22" spans="4:5" ht="20" customHeight="1" x14ac:dyDescent="0.45">
      <c r="D22" s="58" t="s">
        <v>58</v>
      </c>
      <c r="E22" s="58"/>
    </row>
    <row r="23" spans="4:5" x14ac:dyDescent="0.45">
      <c r="D23" s="28" t="s">
        <v>26</v>
      </c>
      <c r="E23" s="44" t="s">
        <v>53</v>
      </c>
    </row>
    <row r="24" spans="4:5" x14ac:dyDescent="0.45">
      <c r="D24" s="33" t="s">
        <v>59</v>
      </c>
      <c r="E24" s="45">
        <v>2430</v>
      </c>
    </row>
    <row r="25" spans="4:5" x14ac:dyDescent="0.45">
      <c r="D25" s="36" t="s">
        <v>60</v>
      </c>
      <c r="E25" s="46">
        <v>0.66</v>
      </c>
    </row>
    <row r="27" spans="4:5" x14ac:dyDescent="0.45">
      <c r="D27" s="39" t="s">
        <v>61</v>
      </c>
      <c r="E27" s="40">
        <f>E24+E25</f>
        <v>2430.66</v>
      </c>
    </row>
    <row r="30" spans="4:5" x14ac:dyDescent="0.45">
      <c r="D30" s="41" t="s">
        <v>62</v>
      </c>
      <c r="E30" s="42">
        <f>E19-E27</f>
        <v>2152.6733333333341</v>
      </c>
    </row>
    <row r="31" spans="4:5" x14ac:dyDescent="0.45">
      <c r="D31" s="41" t="s">
        <v>63</v>
      </c>
      <c r="E31" s="43">
        <f>E30/E19</f>
        <v>0.46967418181818194</v>
      </c>
    </row>
  </sheetData>
  <mergeCells count="2">
    <mergeCell ref="D13:E13"/>
    <mergeCell ref="D22:E22"/>
  </mergeCells>
  <pageMargins left="0.7" right="0.7" top="0.75" bottom="0.75" header="0.3" footer="0.3"/>
  <tableParts count="3"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Inference</vt:lpstr>
      <vt:lpstr>Embeddings</vt:lpstr>
      <vt:lpstr>Cost Savings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Aakash  Pardeshi</dc:creator>
  <cp:lastModifiedBy>Nitin Yadav</cp:lastModifiedBy>
  <dcterms:created xsi:type="dcterms:W3CDTF">2026-09-12T10:38:39Z</dcterms:created>
  <dcterms:modified xsi:type="dcterms:W3CDTF">2026-10-19T14:57:27Z</dcterms:modified>
</cp:coreProperties>
</file>